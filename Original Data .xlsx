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nyang/Downloads/地龙（WEE）投稿/original date/"/>
    </mc:Choice>
  </mc:AlternateContent>
  <xr:revisionPtr revIDLastSave="0" documentId="13_ncr:1_{DE09302F-65BE-A44E-9EAA-4184D6BA08A6}" xr6:coauthVersionLast="47" xr6:coauthVersionMax="47" xr10:uidLastSave="{00000000-0000-0000-0000-000000000000}"/>
  <bookViews>
    <workbookView xWindow="0" yWindow="720" windowWidth="29400" windowHeight="18400" xr2:uid="{F46AEECA-9ECD-5447-8C69-C29F2562E27F}"/>
  </bookViews>
  <sheets>
    <sheet name="sperm" sheetId="2" r:id="rId1"/>
    <sheet name="lipid" sheetId="3" r:id="rId2"/>
    <sheet name="MDA" sheetId="1" r:id="rId3"/>
    <sheet name="GSH" sheetId="4" r:id="rId4"/>
    <sheet name="wb" sheetId="5" r:id="rId5"/>
    <sheet name="pcr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4" l="1" a="1"/>
  <c r="B11" i="4" s="1"/>
  <c r="A9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<sst xmlns="http://schemas.openxmlformats.org/spreadsheetml/2006/main" count="98" uniqueCount="22">
  <si>
    <t>Atorvastatin</t>
  </si>
  <si>
    <t>Ewm-L</t>
  </si>
  <si>
    <t>Ator</t>
  </si>
  <si>
    <t>WEE-H</t>
    <phoneticPr fontId="1" type="noConversion"/>
  </si>
  <si>
    <t>WEE-L</t>
    <phoneticPr fontId="1" type="noConversion"/>
  </si>
  <si>
    <t>HFD</t>
  </si>
  <si>
    <t>Control</t>
  </si>
  <si>
    <t>progressive</t>
    <phoneticPr fontId="1" type="noConversion"/>
  </si>
  <si>
    <t>motility</t>
    <phoneticPr fontId="1" type="noConversion"/>
  </si>
  <si>
    <t>concentration</t>
    <phoneticPr fontId="1" type="noConversion"/>
  </si>
  <si>
    <t>TC</t>
    <phoneticPr fontId="1" type="noConversion"/>
  </si>
  <si>
    <t>TG</t>
    <phoneticPr fontId="1" type="noConversion"/>
  </si>
  <si>
    <t>HDL</t>
    <phoneticPr fontId="1" type="noConversion"/>
  </si>
  <si>
    <t>LDL</t>
    <phoneticPr fontId="1" type="noConversion"/>
  </si>
  <si>
    <t>AC-p53/p53</t>
    <phoneticPr fontId="1" type="noConversion"/>
  </si>
  <si>
    <t>SIRT1</t>
    <phoneticPr fontId="1" type="noConversion"/>
  </si>
  <si>
    <t>Claved-caspase3</t>
    <phoneticPr fontId="1" type="noConversion"/>
  </si>
  <si>
    <t>Bcl-2</t>
    <phoneticPr fontId="1" type="noConversion"/>
  </si>
  <si>
    <t>BAX</t>
    <phoneticPr fontId="1" type="noConversion"/>
  </si>
  <si>
    <t>Ewm-H</t>
  </si>
  <si>
    <t>CASPASE-3</t>
    <phoneticPr fontId="1" type="noConversion"/>
  </si>
  <si>
    <t>BCL-2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</si>
</sst>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宋体"/>
      <family val="3"/>
      <charset val="134"/>
    </font>
    <font>
      <sz val="12"/>
      <name val="Arial"/>
      <family val="2"/>
    </font>
    <font>
      <sz val="12"/>
      <color theme="1"/>
      <name val="等线"/>
      <family val="4"/>
      <charset val="134"/>
      <scheme val="minor"/>
    </font>
    <font>
      <b/>
      <sz val="12"/>
      <color rgb="FFFF0000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/>
    <xf numFmtId="0" fontId="2" fillId="0" borderId="0" xfId="0" applyFo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>
      <alignment vertical="center"/>
    </xf>
    <xf numFmtId="0" fontId="4" fillId="0" borderId="0" xfId="0" applyFont="1" applyFill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/>
    <xf numFmtId="0" fontId="0" fillId="0" borderId="0" xfId="0" applyFill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6" fillId="0" borderId="0" xfId="0" applyFont="1">
      <alignment vertical="center"/>
    </xf>
    <xf numFmtId="0" fontId="3" fillId="2" borderId="0" xfId="0" applyFont="1" applyFill="1" applyAlignment="1"/>
    <xf numFmtId="0" fontId="3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7697E-5265-0949-8DD0-71CB546232AE}">
  <dimension ref="A1:M99"/>
  <sheetViews>
    <sheetView tabSelected="1" zoomScale="75" workbookViewId="0">
      <selection activeCell="K28" sqref="K28"/>
    </sheetView>
  </sheetViews>
  <sheetFormatPr baseColWidth="10" defaultRowHeight="16"/>
  <cols>
    <col min="1" max="1" width="16.33203125" customWidth="1"/>
    <col min="6" max="13" width="10.83203125" style="9"/>
  </cols>
  <sheetData>
    <row r="1" spans="1:13">
      <c r="A1" t="s">
        <v>9</v>
      </c>
      <c r="B1" s="4"/>
      <c r="C1" s="4"/>
      <c r="D1" s="4"/>
      <c r="E1" s="4"/>
      <c r="F1" s="5"/>
      <c r="G1" s="5"/>
      <c r="H1" s="6"/>
      <c r="I1" s="6"/>
      <c r="J1" s="6"/>
      <c r="K1" s="6"/>
      <c r="L1" s="6"/>
      <c r="M1" s="6"/>
    </row>
    <row r="2" spans="1:13">
      <c r="A2" s="3" t="s">
        <v>6</v>
      </c>
      <c r="B2" s="3" t="s">
        <v>5</v>
      </c>
      <c r="C2" s="3" t="s">
        <v>4</v>
      </c>
      <c r="D2" s="3" t="s">
        <v>3</v>
      </c>
      <c r="E2" s="3" t="s">
        <v>2</v>
      </c>
      <c r="F2" s="7"/>
      <c r="G2" s="7"/>
      <c r="H2" s="6"/>
      <c r="I2" s="6"/>
      <c r="J2" s="6"/>
      <c r="K2" s="6"/>
      <c r="L2" s="6"/>
      <c r="M2" s="6"/>
    </row>
    <row r="3" spans="1:13">
      <c r="A3" s="1">
        <v>47</v>
      </c>
      <c r="B3" s="1">
        <v>7.5</v>
      </c>
      <c r="C3" s="1">
        <v>20</v>
      </c>
      <c r="D3" s="1">
        <v>29</v>
      </c>
      <c r="E3" s="1">
        <v>19.5</v>
      </c>
      <c r="F3" s="8"/>
      <c r="G3" s="8"/>
      <c r="H3" s="6"/>
      <c r="I3" s="6"/>
      <c r="J3" s="6"/>
      <c r="K3" s="6"/>
      <c r="L3" s="6"/>
      <c r="M3" s="6"/>
    </row>
    <row r="4" spans="1:13">
      <c r="A4" s="1">
        <v>47</v>
      </c>
      <c r="B4" s="1">
        <v>8</v>
      </c>
      <c r="C4" s="1">
        <v>17.5</v>
      </c>
      <c r="D4" s="1">
        <v>24</v>
      </c>
      <c r="E4" s="1">
        <v>18</v>
      </c>
      <c r="F4" s="7"/>
      <c r="G4" s="8"/>
      <c r="H4" s="6"/>
      <c r="I4" s="6"/>
      <c r="J4" s="6"/>
      <c r="K4" s="6"/>
      <c r="L4" s="6"/>
      <c r="M4" s="6"/>
    </row>
    <row r="5" spans="1:13">
      <c r="A5" s="1">
        <v>40.5</v>
      </c>
      <c r="B5" s="1">
        <v>9</v>
      </c>
      <c r="C5" s="1">
        <v>21.5</v>
      </c>
      <c r="D5" s="1">
        <v>21</v>
      </c>
      <c r="E5" s="1">
        <v>20.5</v>
      </c>
      <c r="F5" s="8"/>
      <c r="G5" s="8"/>
      <c r="H5" s="6"/>
      <c r="I5" s="6"/>
      <c r="J5" s="6"/>
      <c r="K5" s="6"/>
      <c r="L5" s="6"/>
      <c r="M5" s="6"/>
    </row>
    <row r="6" spans="1:13">
      <c r="A6" s="1">
        <v>50</v>
      </c>
      <c r="B6" s="1">
        <v>6.5</v>
      </c>
      <c r="C6" s="1">
        <v>16</v>
      </c>
      <c r="D6" s="1">
        <v>21</v>
      </c>
      <c r="E6" s="1">
        <v>18.5</v>
      </c>
      <c r="F6" s="8"/>
      <c r="H6" s="6"/>
      <c r="I6" s="6"/>
      <c r="J6" s="6"/>
      <c r="K6" s="6"/>
      <c r="L6" s="6"/>
      <c r="M6" s="6"/>
    </row>
    <row r="7" spans="1:13">
      <c r="A7" s="1">
        <v>44</v>
      </c>
      <c r="B7" s="1">
        <v>5</v>
      </c>
      <c r="C7" s="1">
        <v>18</v>
      </c>
      <c r="D7" s="1">
        <v>23</v>
      </c>
      <c r="E7" s="1">
        <v>19</v>
      </c>
      <c r="F7" s="8"/>
      <c r="G7" s="8"/>
      <c r="H7" s="6"/>
      <c r="I7" s="6"/>
      <c r="J7" s="6"/>
      <c r="K7" s="6"/>
      <c r="L7" s="6"/>
      <c r="M7" s="6"/>
    </row>
    <row r="8" spans="1:13">
      <c r="A8" s="1">
        <v>49</v>
      </c>
      <c r="B8" s="1">
        <v>12</v>
      </c>
      <c r="C8" s="1">
        <v>26.5</v>
      </c>
      <c r="D8" s="1">
        <v>24</v>
      </c>
      <c r="E8" s="1">
        <v>27.5</v>
      </c>
      <c r="F8" s="8"/>
      <c r="G8" s="8"/>
      <c r="H8" s="6"/>
      <c r="I8" s="6"/>
      <c r="J8" s="6"/>
      <c r="K8" s="6"/>
      <c r="L8" s="6"/>
      <c r="M8" s="6"/>
    </row>
    <row r="9" spans="1:13">
      <c r="B9" s="2"/>
      <c r="C9" s="2"/>
      <c r="D9" s="2"/>
      <c r="E9" s="2"/>
      <c r="F9" s="6"/>
      <c r="G9" s="8"/>
      <c r="H9" s="6"/>
      <c r="I9" s="6"/>
      <c r="J9" s="6"/>
      <c r="K9" s="6"/>
      <c r="L9" s="6"/>
      <c r="M9" s="6"/>
    </row>
    <row r="10" spans="1:13">
      <c r="B10" s="2"/>
      <c r="C10" s="2"/>
      <c r="D10" s="2"/>
      <c r="E10" s="2"/>
      <c r="F10" s="6"/>
      <c r="G10" s="8"/>
      <c r="H10" s="6"/>
      <c r="I10" s="6"/>
      <c r="J10" s="6"/>
      <c r="K10" s="6"/>
      <c r="L10" s="6"/>
      <c r="M10" s="6"/>
    </row>
    <row r="11" spans="1:13">
      <c r="A11" t="s">
        <v>8</v>
      </c>
      <c r="B11" s="2"/>
      <c r="C11" s="2"/>
      <c r="D11" s="2"/>
      <c r="E11" s="2"/>
      <c r="F11" s="6"/>
      <c r="G11" s="8"/>
      <c r="H11" s="6"/>
      <c r="I11" s="6"/>
      <c r="J11" s="6"/>
      <c r="K11" s="6"/>
      <c r="L11" s="6"/>
      <c r="M11" s="6"/>
    </row>
    <row r="12" spans="1:13">
      <c r="A12" s="3" t="s">
        <v>6</v>
      </c>
      <c r="B12" s="3" t="s">
        <v>5</v>
      </c>
      <c r="C12" s="3" t="s">
        <v>4</v>
      </c>
      <c r="D12" s="3" t="s">
        <v>3</v>
      </c>
      <c r="E12" s="3" t="s">
        <v>2</v>
      </c>
      <c r="F12" s="7"/>
      <c r="G12" s="8"/>
      <c r="H12" s="6"/>
      <c r="I12" s="6"/>
      <c r="J12" s="6"/>
      <c r="K12" s="6"/>
      <c r="L12" s="6"/>
      <c r="M12" s="6"/>
    </row>
    <row r="13" spans="1:13">
      <c r="A13" s="1">
        <v>72</v>
      </c>
      <c r="B13" s="1">
        <v>8.5</v>
      </c>
      <c r="C13" s="1">
        <v>31.5</v>
      </c>
      <c r="D13" s="1">
        <v>45</v>
      </c>
      <c r="E13" s="1">
        <v>40</v>
      </c>
      <c r="F13" s="8"/>
      <c r="G13" s="8"/>
      <c r="H13" s="6"/>
      <c r="I13" s="6"/>
      <c r="J13" s="6"/>
      <c r="K13" s="6"/>
      <c r="L13" s="6"/>
      <c r="M13" s="6"/>
    </row>
    <row r="14" spans="1:13">
      <c r="A14" s="1">
        <v>74.5</v>
      </c>
      <c r="B14" s="1">
        <v>7.5</v>
      </c>
      <c r="C14" s="1">
        <v>31.5</v>
      </c>
      <c r="D14" s="1">
        <v>42</v>
      </c>
      <c r="E14" s="1">
        <v>41</v>
      </c>
      <c r="F14" s="8"/>
      <c r="G14" s="8"/>
      <c r="H14" s="6"/>
      <c r="I14" s="6"/>
      <c r="J14" s="6"/>
      <c r="K14" s="6"/>
      <c r="L14" s="6"/>
      <c r="M14" s="6"/>
    </row>
    <row r="15" spans="1:13">
      <c r="A15" s="1">
        <v>56</v>
      </c>
      <c r="B15" s="1">
        <v>7.5</v>
      </c>
      <c r="C15" s="1">
        <v>34.5</v>
      </c>
      <c r="D15" s="1">
        <v>39.5</v>
      </c>
      <c r="E15" s="1">
        <v>30.5</v>
      </c>
      <c r="F15" s="8"/>
      <c r="G15" s="8"/>
      <c r="H15" s="6"/>
      <c r="I15" s="6"/>
      <c r="J15" s="6"/>
      <c r="K15" s="6"/>
      <c r="L15" s="6"/>
      <c r="M15" s="6"/>
    </row>
    <row r="16" spans="1:13">
      <c r="A16" s="1">
        <v>77.5</v>
      </c>
      <c r="B16" s="1">
        <v>7</v>
      </c>
      <c r="C16" s="1">
        <v>21</v>
      </c>
      <c r="D16" s="1">
        <v>28.5</v>
      </c>
      <c r="E16" s="1">
        <v>29</v>
      </c>
      <c r="F16" s="8"/>
      <c r="G16" s="8"/>
      <c r="H16" s="6"/>
      <c r="I16" s="6"/>
      <c r="J16" s="6"/>
      <c r="K16" s="6"/>
      <c r="L16" s="6"/>
      <c r="M16" s="6"/>
    </row>
    <row r="17" spans="1:13">
      <c r="A17" s="1">
        <v>71</v>
      </c>
      <c r="B17" s="1">
        <v>10</v>
      </c>
      <c r="C17" s="1">
        <v>15.5</v>
      </c>
      <c r="D17" s="1">
        <v>46</v>
      </c>
      <c r="E17" s="1">
        <v>34</v>
      </c>
      <c r="F17" s="8"/>
      <c r="G17" s="8"/>
      <c r="H17" s="6"/>
      <c r="I17" s="6"/>
      <c r="J17" s="6"/>
      <c r="K17" s="6"/>
      <c r="L17" s="6"/>
      <c r="M17" s="6"/>
    </row>
    <row r="18" spans="1:13">
      <c r="A18" s="1">
        <v>62</v>
      </c>
      <c r="B18" s="1">
        <v>5.5</v>
      </c>
      <c r="C18" s="1">
        <v>14.5</v>
      </c>
      <c r="D18" s="1">
        <v>32.5</v>
      </c>
      <c r="E18" s="1">
        <v>30</v>
      </c>
      <c r="F18" s="8"/>
      <c r="G18" s="8"/>
      <c r="H18" s="6"/>
      <c r="I18" s="6"/>
      <c r="J18" s="6"/>
      <c r="K18" s="6"/>
      <c r="L18" s="6"/>
      <c r="M18" s="6"/>
    </row>
    <row r="19" spans="1:13">
      <c r="B19" s="2"/>
      <c r="C19" s="2"/>
      <c r="D19" s="2"/>
      <c r="E19" s="2"/>
      <c r="F19" s="6"/>
      <c r="G19" s="8"/>
      <c r="H19" s="6"/>
      <c r="I19" s="6"/>
      <c r="J19" s="6"/>
      <c r="K19" s="6"/>
      <c r="L19" s="6"/>
      <c r="M19" s="6"/>
    </row>
    <row r="20" spans="1:13">
      <c r="B20" s="2"/>
      <c r="C20" s="2"/>
      <c r="D20" s="2"/>
      <c r="E20" s="2"/>
      <c r="F20" s="6"/>
      <c r="G20" s="6"/>
      <c r="H20" s="6"/>
      <c r="I20" s="6"/>
      <c r="J20" s="6"/>
      <c r="K20" s="6"/>
      <c r="L20" s="6"/>
      <c r="M20" s="6"/>
    </row>
    <row r="22" spans="1:13">
      <c r="G22" s="7"/>
      <c r="H22" s="6"/>
      <c r="I22" s="6"/>
      <c r="J22" s="6"/>
      <c r="K22" s="6"/>
      <c r="L22" s="6"/>
      <c r="M22" s="6"/>
    </row>
    <row r="23" spans="1:13">
      <c r="G23" s="8"/>
      <c r="H23" s="6"/>
      <c r="I23" s="6"/>
      <c r="J23" s="6"/>
      <c r="K23" s="6"/>
      <c r="L23" s="6"/>
      <c r="M23" s="6"/>
    </row>
    <row r="24" spans="1:13">
      <c r="A24" t="s">
        <v>7</v>
      </c>
      <c r="F24" s="7"/>
      <c r="G24" s="8"/>
      <c r="H24" s="6"/>
      <c r="I24" s="6"/>
      <c r="J24" s="6"/>
      <c r="K24" s="6"/>
      <c r="L24" s="6"/>
      <c r="M24" s="6"/>
    </row>
    <row r="25" spans="1:13">
      <c r="A25" s="3" t="s">
        <v>6</v>
      </c>
      <c r="B25" s="3" t="s">
        <v>5</v>
      </c>
      <c r="C25" s="3" t="s">
        <v>4</v>
      </c>
      <c r="D25" s="3" t="s">
        <v>3</v>
      </c>
      <c r="E25" s="3" t="s">
        <v>2</v>
      </c>
      <c r="F25" s="7"/>
      <c r="G25" s="8"/>
      <c r="H25" s="6"/>
      <c r="I25" s="6"/>
      <c r="J25" s="6"/>
      <c r="K25" s="6"/>
      <c r="L25" s="6"/>
      <c r="M25" s="6"/>
    </row>
    <row r="26" spans="1:13">
      <c r="A26" s="1">
        <v>32</v>
      </c>
      <c r="B26" s="1">
        <v>4</v>
      </c>
      <c r="C26" s="1">
        <v>15.5</v>
      </c>
      <c r="D26" s="1">
        <v>19</v>
      </c>
      <c r="E26" s="1">
        <v>18</v>
      </c>
      <c r="F26" s="8"/>
      <c r="H26" s="6"/>
      <c r="I26" s="6"/>
      <c r="J26" s="6"/>
      <c r="K26" s="6"/>
      <c r="L26" s="6"/>
      <c r="M26" s="6"/>
    </row>
    <row r="27" spans="1:13">
      <c r="A27" s="1">
        <v>32</v>
      </c>
      <c r="B27" s="1">
        <v>4</v>
      </c>
      <c r="C27" s="1">
        <v>15.5</v>
      </c>
      <c r="D27" s="1">
        <v>18.5</v>
      </c>
      <c r="E27" s="1">
        <v>19</v>
      </c>
      <c r="F27" s="8"/>
      <c r="G27" s="8"/>
      <c r="H27" s="6"/>
      <c r="I27" s="6"/>
      <c r="J27" s="6"/>
      <c r="K27" s="6"/>
      <c r="L27" s="6"/>
      <c r="M27" s="6"/>
    </row>
    <row r="28" spans="1:13">
      <c r="A28" s="1">
        <v>24.5</v>
      </c>
      <c r="B28" s="1">
        <v>3</v>
      </c>
      <c r="C28" s="1">
        <v>14</v>
      </c>
      <c r="D28" s="1">
        <v>18</v>
      </c>
      <c r="E28" s="1">
        <v>14.5</v>
      </c>
      <c r="F28" s="8"/>
      <c r="G28" s="8"/>
      <c r="H28" s="6"/>
      <c r="I28" s="6"/>
      <c r="J28" s="6"/>
      <c r="K28" s="6"/>
      <c r="L28" s="6"/>
      <c r="M28" s="6"/>
    </row>
    <row r="29" spans="1:13">
      <c r="A29" s="1">
        <v>33.5</v>
      </c>
      <c r="B29" s="1">
        <v>3.5</v>
      </c>
      <c r="C29" s="1">
        <v>8.5</v>
      </c>
      <c r="D29" s="1">
        <v>12.5</v>
      </c>
      <c r="E29" s="1">
        <v>14.5</v>
      </c>
      <c r="F29" s="8"/>
      <c r="G29" s="8"/>
      <c r="H29" s="6"/>
      <c r="I29" s="6"/>
      <c r="J29" s="6"/>
      <c r="K29" s="6"/>
      <c r="L29" s="6"/>
      <c r="M29" s="6"/>
    </row>
    <row r="30" spans="1:13">
      <c r="A30" s="1">
        <v>30</v>
      </c>
      <c r="B30" s="1">
        <v>4</v>
      </c>
      <c r="C30" s="1">
        <v>5.5</v>
      </c>
      <c r="D30" s="1">
        <v>21</v>
      </c>
      <c r="E30" s="1">
        <v>15.5</v>
      </c>
      <c r="F30" s="8"/>
      <c r="G30" s="8"/>
      <c r="H30" s="6"/>
      <c r="I30" s="6"/>
      <c r="J30" s="6"/>
      <c r="K30" s="6"/>
      <c r="L30" s="6"/>
      <c r="M30" s="6"/>
    </row>
    <row r="31" spans="1:13">
      <c r="A31" s="1">
        <v>26.5</v>
      </c>
      <c r="B31" s="1">
        <v>2</v>
      </c>
      <c r="C31" s="1">
        <v>7</v>
      </c>
      <c r="D31" s="1">
        <v>14</v>
      </c>
      <c r="E31" s="1">
        <v>15</v>
      </c>
      <c r="F31" s="8"/>
      <c r="G31" s="8"/>
      <c r="H31" s="6"/>
      <c r="I31" s="6"/>
      <c r="J31" s="6"/>
      <c r="K31" s="6"/>
      <c r="L31" s="6"/>
      <c r="M31" s="6"/>
    </row>
    <row r="32" spans="1:13">
      <c r="G32" s="8"/>
      <c r="H32" s="6"/>
      <c r="I32" s="6"/>
      <c r="J32" s="6"/>
      <c r="K32" s="6"/>
      <c r="L32" s="6"/>
      <c r="M32" s="6"/>
    </row>
    <row r="33" spans="6:13">
      <c r="G33" s="8"/>
      <c r="H33" s="6"/>
      <c r="I33" s="6"/>
      <c r="J33" s="6"/>
      <c r="K33" s="6"/>
      <c r="L33" s="6"/>
      <c r="M33" s="6"/>
    </row>
    <row r="34" spans="6:13">
      <c r="G34" s="8"/>
      <c r="H34" s="6"/>
      <c r="I34" s="6"/>
      <c r="J34" s="6"/>
      <c r="K34" s="6"/>
      <c r="L34" s="6"/>
      <c r="M34" s="6"/>
    </row>
    <row r="35" spans="6:13">
      <c r="G35" s="8"/>
      <c r="H35" s="6"/>
      <c r="I35" s="6"/>
      <c r="J35" s="6"/>
      <c r="K35" s="6"/>
      <c r="L35" s="6"/>
      <c r="M35" s="6"/>
    </row>
    <row r="36" spans="6:13">
      <c r="G36" s="8"/>
      <c r="H36" s="6"/>
      <c r="I36" s="6"/>
      <c r="J36" s="6"/>
      <c r="K36" s="6"/>
      <c r="L36" s="6"/>
      <c r="M36" s="6"/>
    </row>
    <row r="37" spans="6:13">
      <c r="G37" s="8"/>
      <c r="H37" s="6"/>
      <c r="I37" s="6"/>
      <c r="J37" s="6"/>
      <c r="K37" s="6"/>
      <c r="L37" s="6"/>
      <c r="M37" s="6"/>
    </row>
    <row r="38" spans="6:13">
      <c r="G38" s="8"/>
      <c r="H38" s="6"/>
      <c r="I38" s="6"/>
      <c r="J38" s="6"/>
      <c r="K38" s="6"/>
      <c r="L38" s="6"/>
      <c r="M38" s="6"/>
    </row>
    <row r="39" spans="6:13">
      <c r="G39" s="8"/>
      <c r="H39" s="6"/>
      <c r="I39" s="6"/>
      <c r="J39" s="6"/>
      <c r="K39" s="6"/>
      <c r="L39" s="6"/>
      <c r="M39" s="6"/>
    </row>
    <row r="42" spans="6:13">
      <c r="G42" s="7"/>
      <c r="H42" s="6"/>
      <c r="I42" s="6"/>
      <c r="J42" s="6"/>
      <c r="K42" s="6"/>
      <c r="L42" s="6"/>
      <c r="M42" s="6"/>
    </row>
    <row r="43" spans="6:13">
      <c r="G43" s="8"/>
      <c r="H43" s="6"/>
      <c r="I43" s="6"/>
      <c r="J43" s="6"/>
      <c r="K43" s="6"/>
      <c r="L43" s="6"/>
      <c r="M43" s="6"/>
    </row>
    <row r="44" spans="6:13">
      <c r="F44" s="7"/>
      <c r="G44" s="8"/>
      <c r="H44" s="6"/>
      <c r="I44" s="6"/>
      <c r="J44" s="6"/>
      <c r="K44" s="6"/>
      <c r="L44" s="6"/>
      <c r="M44" s="6"/>
    </row>
    <row r="45" spans="6:13">
      <c r="G45" s="8"/>
      <c r="H45" s="6"/>
      <c r="I45" s="6"/>
      <c r="J45" s="6"/>
      <c r="K45" s="6"/>
      <c r="L45" s="6"/>
      <c r="M45" s="6"/>
    </row>
    <row r="46" spans="6:13">
      <c r="H46" s="6"/>
      <c r="I46" s="6"/>
      <c r="J46" s="6"/>
      <c r="K46" s="6"/>
      <c r="L46" s="6"/>
      <c r="M46" s="6"/>
    </row>
    <row r="47" spans="6:13">
      <c r="G47" s="8"/>
      <c r="H47" s="6"/>
      <c r="I47" s="6"/>
      <c r="J47" s="6"/>
      <c r="K47" s="6"/>
      <c r="L47" s="6"/>
      <c r="M47" s="6"/>
    </row>
    <row r="48" spans="6:13">
      <c r="G48" s="8"/>
      <c r="H48" s="6"/>
      <c r="I48" s="6"/>
      <c r="J48" s="6"/>
      <c r="K48" s="6"/>
      <c r="L48" s="6"/>
      <c r="M48" s="6"/>
    </row>
    <row r="49" spans="7:13">
      <c r="G49" s="8"/>
      <c r="H49" s="6"/>
      <c r="I49" s="6"/>
      <c r="J49" s="6"/>
      <c r="K49" s="6"/>
      <c r="L49" s="6"/>
      <c r="M49" s="6"/>
    </row>
    <row r="50" spans="7:13">
      <c r="G50" s="8"/>
      <c r="H50" s="6"/>
      <c r="I50" s="6"/>
      <c r="J50" s="6"/>
      <c r="K50" s="6"/>
      <c r="L50" s="6"/>
      <c r="M50" s="6"/>
    </row>
    <row r="51" spans="7:13">
      <c r="G51" s="8"/>
      <c r="H51" s="6"/>
      <c r="I51" s="6"/>
      <c r="J51" s="6"/>
      <c r="K51" s="6"/>
      <c r="L51" s="6"/>
      <c r="M51" s="6"/>
    </row>
    <row r="52" spans="7:13">
      <c r="G52" s="8"/>
      <c r="H52" s="6"/>
      <c r="I52" s="6"/>
      <c r="J52" s="6"/>
      <c r="K52" s="6"/>
      <c r="L52" s="6"/>
      <c r="M52" s="6"/>
    </row>
    <row r="53" spans="7:13">
      <c r="G53" s="8"/>
      <c r="H53" s="6"/>
      <c r="I53" s="6"/>
      <c r="J53" s="6"/>
      <c r="K53" s="6"/>
      <c r="L53" s="6"/>
      <c r="M53" s="6"/>
    </row>
    <row r="54" spans="7:13">
      <c r="G54" s="8"/>
      <c r="H54" s="6"/>
      <c r="I54" s="6"/>
      <c r="J54" s="6"/>
      <c r="K54" s="6"/>
      <c r="L54" s="6"/>
      <c r="M54" s="6"/>
    </row>
    <row r="55" spans="7:13">
      <c r="G55" s="8"/>
      <c r="H55" s="6"/>
      <c r="I55" s="6"/>
      <c r="J55" s="6"/>
      <c r="K55" s="6"/>
      <c r="L55" s="6"/>
      <c r="M55" s="6"/>
    </row>
    <row r="56" spans="7:13">
      <c r="G56" s="8"/>
      <c r="H56" s="6"/>
      <c r="I56" s="6"/>
      <c r="J56" s="6"/>
      <c r="K56" s="6"/>
      <c r="L56" s="6"/>
      <c r="M56" s="6"/>
    </row>
    <row r="57" spans="7:13">
      <c r="G57" s="8"/>
      <c r="H57" s="6"/>
      <c r="I57" s="6"/>
      <c r="J57" s="6"/>
      <c r="K57" s="6"/>
      <c r="L57" s="6"/>
      <c r="M57" s="6"/>
    </row>
    <row r="58" spans="7:13">
      <c r="G58" s="8"/>
      <c r="H58" s="6"/>
      <c r="I58" s="6"/>
      <c r="J58" s="6"/>
      <c r="K58" s="6"/>
      <c r="L58" s="6"/>
      <c r="M58" s="6"/>
    </row>
    <row r="59" spans="7:13">
      <c r="G59" s="8"/>
      <c r="H59" s="6"/>
      <c r="I59" s="6"/>
      <c r="J59" s="6"/>
      <c r="K59" s="6"/>
      <c r="L59" s="6"/>
      <c r="M59" s="6"/>
    </row>
    <row r="62" spans="7:13">
      <c r="G62" s="7"/>
      <c r="H62" s="6"/>
      <c r="I62" s="6"/>
      <c r="J62" s="6"/>
      <c r="K62" s="6"/>
      <c r="L62" s="6"/>
      <c r="M62" s="6"/>
    </row>
    <row r="63" spans="7:13">
      <c r="G63" s="8"/>
      <c r="H63" s="6"/>
      <c r="I63" s="6"/>
      <c r="J63" s="6"/>
      <c r="K63" s="6"/>
      <c r="L63" s="6"/>
      <c r="M63" s="6"/>
    </row>
    <row r="64" spans="7:13">
      <c r="G64" s="8"/>
      <c r="H64" s="6"/>
      <c r="I64" s="6"/>
      <c r="J64" s="6"/>
      <c r="K64" s="6"/>
      <c r="L64" s="6"/>
      <c r="M64" s="6"/>
    </row>
    <row r="65" spans="7:13">
      <c r="G65" s="8"/>
      <c r="H65" s="6"/>
      <c r="I65" s="6"/>
      <c r="J65" s="6"/>
      <c r="K65" s="6"/>
      <c r="L65" s="6"/>
      <c r="M65" s="6"/>
    </row>
    <row r="66" spans="7:13">
      <c r="H66" s="6"/>
      <c r="I66" s="6"/>
      <c r="J66" s="6"/>
      <c r="K66" s="6"/>
      <c r="L66" s="6"/>
      <c r="M66" s="6"/>
    </row>
    <row r="67" spans="7:13">
      <c r="G67" s="8"/>
      <c r="H67" s="6"/>
      <c r="I67" s="6"/>
      <c r="J67" s="6"/>
      <c r="K67" s="6"/>
      <c r="L67" s="6"/>
      <c r="M67" s="6"/>
    </row>
    <row r="68" spans="7:13">
      <c r="G68" s="8"/>
      <c r="H68" s="6"/>
      <c r="I68" s="6"/>
      <c r="J68" s="6"/>
      <c r="K68" s="6"/>
      <c r="L68" s="6"/>
      <c r="M68" s="6"/>
    </row>
    <row r="69" spans="7:13">
      <c r="G69" s="8"/>
      <c r="H69" s="6"/>
      <c r="I69" s="6"/>
      <c r="J69" s="6"/>
      <c r="K69" s="6"/>
      <c r="L69" s="6"/>
      <c r="M69" s="6"/>
    </row>
    <row r="70" spans="7:13">
      <c r="G70" s="8"/>
      <c r="H70" s="6"/>
      <c r="I70" s="6"/>
      <c r="J70" s="6"/>
      <c r="K70" s="6"/>
      <c r="L70" s="6"/>
      <c r="M70" s="6"/>
    </row>
    <row r="71" spans="7:13">
      <c r="G71" s="8"/>
      <c r="H71" s="6"/>
      <c r="I71" s="6"/>
      <c r="J71" s="6"/>
      <c r="K71" s="6"/>
      <c r="L71" s="6"/>
      <c r="M71" s="6"/>
    </row>
    <row r="72" spans="7:13">
      <c r="G72" s="8"/>
      <c r="H72" s="6"/>
      <c r="I72" s="6"/>
      <c r="J72" s="6"/>
      <c r="K72" s="6"/>
      <c r="L72" s="6"/>
      <c r="M72" s="6"/>
    </row>
    <row r="73" spans="7:13">
      <c r="G73" s="8"/>
      <c r="H73" s="6"/>
      <c r="I73" s="6"/>
      <c r="J73" s="6"/>
      <c r="K73" s="6"/>
      <c r="L73" s="6"/>
      <c r="M73" s="6"/>
    </row>
    <row r="74" spans="7:13">
      <c r="G74" s="8"/>
      <c r="H74" s="6"/>
      <c r="I74" s="6"/>
      <c r="J74" s="6"/>
      <c r="K74" s="6"/>
      <c r="L74" s="6"/>
      <c r="M74" s="6"/>
    </row>
    <row r="75" spans="7:13">
      <c r="G75" s="8"/>
      <c r="H75" s="6"/>
      <c r="I75" s="6"/>
      <c r="J75" s="6"/>
      <c r="K75" s="6"/>
      <c r="L75" s="6"/>
      <c r="M75" s="6"/>
    </row>
    <row r="76" spans="7:13">
      <c r="G76" s="8"/>
      <c r="H76" s="6"/>
      <c r="I76" s="6"/>
      <c r="J76" s="6"/>
      <c r="K76" s="6"/>
      <c r="L76" s="6"/>
      <c r="M76" s="6"/>
    </row>
    <row r="77" spans="7:13">
      <c r="G77" s="8"/>
      <c r="H77" s="6"/>
      <c r="I77" s="6"/>
      <c r="J77" s="6"/>
      <c r="K77" s="6"/>
      <c r="L77" s="6"/>
      <c r="M77" s="6"/>
    </row>
    <row r="78" spans="7:13">
      <c r="G78" s="8"/>
      <c r="H78" s="6"/>
      <c r="I78" s="6"/>
      <c r="J78" s="6"/>
      <c r="K78" s="6"/>
      <c r="L78" s="6"/>
      <c r="M78" s="6"/>
    </row>
    <row r="79" spans="7:13">
      <c r="G79" s="8"/>
      <c r="H79" s="6"/>
      <c r="I79" s="6"/>
      <c r="J79" s="6"/>
      <c r="K79" s="6"/>
      <c r="L79" s="6"/>
      <c r="M79" s="6"/>
    </row>
    <row r="82" spans="6:13">
      <c r="G82" s="7"/>
      <c r="H82" s="6"/>
      <c r="I82" s="6"/>
      <c r="J82" s="6"/>
      <c r="K82" s="6"/>
      <c r="L82" s="6"/>
      <c r="M82" s="6"/>
    </row>
    <row r="83" spans="6:13">
      <c r="G83" s="8"/>
      <c r="H83" s="6"/>
      <c r="I83" s="6"/>
      <c r="J83" s="6"/>
      <c r="K83" s="6"/>
      <c r="L83" s="6"/>
      <c r="M83" s="6"/>
    </row>
    <row r="84" spans="6:13">
      <c r="F84" s="7"/>
      <c r="G84" s="8"/>
      <c r="H84" s="6"/>
      <c r="I84" s="6"/>
      <c r="J84" s="6"/>
      <c r="K84" s="6"/>
      <c r="L84" s="6"/>
      <c r="M84" s="6"/>
    </row>
    <row r="85" spans="6:13">
      <c r="G85" s="8"/>
      <c r="H85" s="6"/>
      <c r="I85" s="6"/>
      <c r="J85" s="6"/>
      <c r="K85" s="6"/>
      <c r="L85" s="6"/>
      <c r="M85" s="6"/>
    </row>
    <row r="86" spans="6:13">
      <c r="H86" s="6"/>
      <c r="I86" s="6"/>
      <c r="J86" s="6"/>
      <c r="K86" s="6"/>
      <c r="L86" s="6"/>
      <c r="M86" s="6"/>
    </row>
    <row r="87" spans="6:13">
      <c r="G87" s="8"/>
      <c r="H87" s="6"/>
      <c r="I87" s="6"/>
      <c r="J87" s="6"/>
      <c r="K87" s="6"/>
      <c r="L87" s="6"/>
      <c r="M87" s="6"/>
    </row>
    <row r="88" spans="6:13">
      <c r="G88" s="8"/>
      <c r="H88" s="6"/>
      <c r="I88" s="6"/>
      <c r="J88" s="6"/>
      <c r="K88" s="6"/>
      <c r="L88" s="6"/>
      <c r="M88" s="6"/>
    </row>
    <row r="89" spans="6:13">
      <c r="G89" s="8"/>
      <c r="H89" s="6"/>
      <c r="I89" s="6"/>
      <c r="J89" s="6"/>
      <c r="K89" s="6"/>
      <c r="L89" s="6"/>
      <c r="M89" s="6"/>
    </row>
    <row r="90" spans="6:13">
      <c r="G90" s="8"/>
      <c r="H90" s="6"/>
      <c r="I90" s="6"/>
      <c r="J90" s="6"/>
      <c r="K90" s="6"/>
      <c r="L90" s="6"/>
      <c r="M90" s="6"/>
    </row>
    <row r="91" spans="6:13">
      <c r="G91" s="8"/>
      <c r="H91" s="6"/>
      <c r="I91" s="6"/>
      <c r="J91" s="6"/>
      <c r="K91" s="6"/>
      <c r="L91" s="6"/>
      <c r="M91" s="6"/>
    </row>
    <row r="92" spans="6:13">
      <c r="G92" s="8"/>
      <c r="H92" s="6"/>
      <c r="I92" s="6"/>
      <c r="J92" s="6"/>
      <c r="K92" s="6"/>
      <c r="L92" s="6"/>
      <c r="M92" s="6"/>
    </row>
    <row r="93" spans="6:13">
      <c r="G93" s="8"/>
      <c r="H93" s="6"/>
      <c r="I93" s="6"/>
      <c r="J93" s="6"/>
      <c r="K93" s="6"/>
      <c r="L93" s="6"/>
      <c r="M93" s="6"/>
    </row>
    <row r="94" spans="6:13">
      <c r="G94" s="8"/>
      <c r="H94" s="6"/>
      <c r="I94" s="6"/>
      <c r="J94" s="6"/>
      <c r="K94" s="6"/>
      <c r="L94" s="6"/>
      <c r="M94" s="6"/>
    </row>
    <row r="95" spans="6:13">
      <c r="G95" s="8"/>
      <c r="H95" s="6"/>
      <c r="I95" s="6"/>
      <c r="J95" s="6"/>
      <c r="K95" s="6"/>
      <c r="L95" s="6"/>
      <c r="M95" s="6"/>
    </row>
    <row r="96" spans="6:13">
      <c r="G96" s="8"/>
      <c r="H96" s="6"/>
      <c r="I96" s="6"/>
      <c r="J96" s="6"/>
      <c r="K96" s="6"/>
      <c r="L96" s="6"/>
      <c r="M96" s="6"/>
    </row>
    <row r="97" spans="7:13">
      <c r="G97" s="8"/>
      <c r="H97" s="6"/>
      <c r="I97" s="6"/>
      <c r="J97" s="6"/>
      <c r="K97" s="6"/>
      <c r="L97" s="6"/>
      <c r="M97" s="6"/>
    </row>
    <row r="98" spans="7:13">
      <c r="G98" s="8"/>
      <c r="H98" s="6"/>
      <c r="I98" s="6"/>
      <c r="J98" s="6"/>
      <c r="K98" s="6"/>
      <c r="L98" s="6"/>
      <c r="M98" s="6"/>
    </row>
    <row r="99" spans="7:13">
      <c r="G99" s="8"/>
      <c r="H99" s="6"/>
      <c r="I99" s="6"/>
      <c r="J99" s="6"/>
      <c r="K99" s="6"/>
      <c r="L99" s="6"/>
      <c r="M99" s="6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1CF37-DE5A-E84C-8287-2275EC60408D}">
  <dimension ref="A1:E37"/>
  <sheetViews>
    <sheetView workbookViewId="0">
      <selection sqref="A1:E1048576"/>
    </sheetView>
  </sheetViews>
  <sheetFormatPr baseColWidth="10" defaultRowHeight="16"/>
  <sheetData>
    <row r="1" spans="1:5">
      <c r="A1" s="10" t="s">
        <v>10</v>
      </c>
    </row>
    <row r="2" spans="1:5">
      <c r="A2" s="3" t="s">
        <v>6</v>
      </c>
      <c r="B2" s="3" t="s">
        <v>5</v>
      </c>
      <c r="C2" s="3" t="s">
        <v>4</v>
      </c>
      <c r="D2" s="3" t="s">
        <v>3</v>
      </c>
      <c r="E2" s="3" t="s">
        <v>2</v>
      </c>
    </row>
    <row r="3" spans="1:5">
      <c r="A3" s="1">
        <v>1.74</v>
      </c>
      <c r="B3" s="1">
        <v>6.92</v>
      </c>
      <c r="C3" s="1">
        <v>4.6100000000000003</v>
      </c>
      <c r="D3" s="1">
        <v>2.72</v>
      </c>
      <c r="E3" s="1">
        <v>3.62</v>
      </c>
    </row>
    <row r="4" spans="1:5">
      <c r="A4" s="1">
        <v>1.98</v>
      </c>
      <c r="B4" s="1">
        <v>4.4400000000000004</v>
      </c>
      <c r="C4" s="1">
        <v>3.58</v>
      </c>
      <c r="D4" s="1">
        <v>3.77</v>
      </c>
      <c r="E4" s="1">
        <v>2.4700000000000002</v>
      </c>
    </row>
    <row r="5" spans="1:5">
      <c r="A5" s="1">
        <v>1.35</v>
      </c>
      <c r="B5" s="1">
        <v>4.07</v>
      </c>
      <c r="C5" s="1">
        <v>3.41</v>
      </c>
      <c r="D5" s="1">
        <v>3.39</v>
      </c>
      <c r="E5" s="1">
        <v>2.69</v>
      </c>
    </row>
    <row r="6" spans="1:5">
      <c r="A6" s="1">
        <v>1.68</v>
      </c>
      <c r="B6" s="1">
        <v>3.89</v>
      </c>
      <c r="C6" s="1">
        <v>3.7</v>
      </c>
      <c r="D6" s="1">
        <v>3.12</v>
      </c>
      <c r="E6" s="1">
        <v>2.72</v>
      </c>
    </row>
    <row r="7" spans="1:5">
      <c r="A7" s="1">
        <v>1.67</v>
      </c>
      <c r="B7" s="1">
        <v>4.79</v>
      </c>
      <c r="C7" s="1">
        <v>3.31</v>
      </c>
      <c r="D7" s="1">
        <v>3.81</v>
      </c>
      <c r="E7" s="1">
        <v>3.26</v>
      </c>
    </row>
    <row r="8" spans="1:5">
      <c r="A8" s="1">
        <v>1.39</v>
      </c>
      <c r="B8" s="1">
        <v>4.2300000000000004</v>
      </c>
      <c r="C8" s="1">
        <v>4.08</v>
      </c>
      <c r="D8" s="1">
        <v>2.86</v>
      </c>
      <c r="E8" s="1">
        <v>3</v>
      </c>
    </row>
    <row r="11" spans="1:5">
      <c r="A11" s="10" t="s">
        <v>11</v>
      </c>
    </row>
    <row r="12" spans="1:5">
      <c r="A12" s="3" t="s">
        <v>6</v>
      </c>
      <c r="B12" s="3" t="s">
        <v>5</v>
      </c>
      <c r="C12" s="3" t="s">
        <v>4</v>
      </c>
      <c r="D12" s="3" t="s">
        <v>3</v>
      </c>
      <c r="E12" s="3" t="s">
        <v>2</v>
      </c>
    </row>
    <row r="13" spans="1:5">
      <c r="A13" s="1">
        <v>0.32</v>
      </c>
      <c r="B13" s="1">
        <v>0.19</v>
      </c>
      <c r="C13" s="1">
        <v>0.47</v>
      </c>
      <c r="D13" s="1">
        <v>0.2</v>
      </c>
      <c r="E13" s="1">
        <v>0.25</v>
      </c>
    </row>
    <row r="14" spans="1:5">
      <c r="A14" s="1">
        <v>0.35</v>
      </c>
      <c r="B14" s="1">
        <v>0.27</v>
      </c>
      <c r="C14" s="1">
        <v>0.56000000000000005</v>
      </c>
      <c r="D14" s="1">
        <v>0.15</v>
      </c>
      <c r="E14" s="1">
        <v>0.17</v>
      </c>
    </row>
    <row r="15" spans="1:5">
      <c r="A15" s="1">
        <v>0.44</v>
      </c>
      <c r="B15" s="1">
        <v>0.49</v>
      </c>
      <c r="C15" s="1">
        <v>0.26</v>
      </c>
      <c r="D15" s="1">
        <v>0.65</v>
      </c>
      <c r="E15" s="1">
        <v>0.37</v>
      </c>
    </row>
    <row r="16" spans="1:5">
      <c r="A16" s="1">
        <v>0.55000000000000004</v>
      </c>
      <c r="B16" s="1">
        <v>0.63</v>
      </c>
      <c r="C16" s="1">
        <v>0.18</v>
      </c>
      <c r="D16" s="1">
        <v>0.41</v>
      </c>
      <c r="E16" s="1">
        <v>0.39</v>
      </c>
    </row>
    <row r="17" spans="1:5">
      <c r="A17" s="1">
        <v>0.26</v>
      </c>
      <c r="B17" s="1">
        <v>0.47</v>
      </c>
      <c r="C17" s="1">
        <v>0.25</v>
      </c>
      <c r="D17" s="1">
        <v>0.28999999999999998</v>
      </c>
      <c r="E17" s="1">
        <v>0.42</v>
      </c>
    </row>
    <row r="18" spans="1:5">
      <c r="A18" s="1">
        <v>0.42</v>
      </c>
      <c r="B18" s="1">
        <v>0.56999999999999995</v>
      </c>
      <c r="C18" s="1">
        <v>0.43</v>
      </c>
      <c r="D18" s="1">
        <v>0.28000000000000003</v>
      </c>
      <c r="E18" s="1">
        <v>0.26</v>
      </c>
    </row>
    <row r="20" spans="1:5">
      <c r="A20" s="10" t="s">
        <v>12</v>
      </c>
    </row>
    <row r="21" spans="1:5">
      <c r="A21" s="3" t="s">
        <v>6</v>
      </c>
      <c r="B21" s="3" t="s">
        <v>5</v>
      </c>
      <c r="C21" s="3" t="s">
        <v>4</v>
      </c>
      <c r="D21" s="3" t="s">
        <v>3</v>
      </c>
      <c r="E21" s="3" t="s">
        <v>2</v>
      </c>
    </row>
    <row r="22" spans="1:5">
      <c r="A22" s="1">
        <v>1.24</v>
      </c>
      <c r="B22" s="1">
        <v>1.07</v>
      </c>
      <c r="C22" s="1">
        <v>1.61</v>
      </c>
      <c r="D22" s="1">
        <v>2.62</v>
      </c>
      <c r="E22" s="1">
        <v>2.27</v>
      </c>
    </row>
    <row r="23" spans="1:5">
      <c r="A23" s="1">
        <v>1.85</v>
      </c>
      <c r="B23" s="1">
        <v>2.1</v>
      </c>
      <c r="C23" s="1">
        <v>2.19</v>
      </c>
      <c r="D23" s="1">
        <v>2.42</v>
      </c>
      <c r="E23" s="1">
        <v>2.25</v>
      </c>
    </row>
    <row r="24" spans="1:5">
      <c r="A24" s="1">
        <v>1.5</v>
      </c>
      <c r="B24" s="1">
        <v>1.69</v>
      </c>
      <c r="C24" s="1">
        <v>2.14</v>
      </c>
      <c r="D24" s="1">
        <v>1.96</v>
      </c>
      <c r="E24" s="1">
        <v>1.94</v>
      </c>
    </row>
    <row r="25" spans="1:5">
      <c r="A25" s="1">
        <v>1.28</v>
      </c>
      <c r="B25" s="1">
        <v>1.32</v>
      </c>
      <c r="C25" s="1">
        <v>2.27</v>
      </c>
      <c r="D25" s="1">
        <v>2.14</v>
      </c>
      <c r="E25" s="1">
        <v>1.77</v>
      </c>
    </row>
    <row r="26" spans="1:5">
      <c r="A26" s="1">
        <v>1.31</v>
      </c>
      <c r="B26" s="1">
        <v>1.91</v>
      </c>
      <c r="C26" s="1">
        <v>2.19</v>
      </c>
      <c r="D26" s="1">
        <v>2.4300000000000002</v>
      </c>
      <c r="E26" s="1">
        <v>2.19</v>
      </c>
    </row>
    <row r="27" spans="1:5">
      <c r="A27" s="1">
        <v>1.0900000000000001</v>
      </c>
      <c r="B27" s="1">
        <v>1.84</v>
      </c>
      <c r="C27" s="1">
        <v>1.9</v>
      </c>
      <c r="D27" s="1">
        <v>1.72</v>
      </c>
      <c r="E27" s="1">
        <v>2.12</v>
      </c>
    </row>
    <row r="30" spans="1:5">
      <c r="A30" s="10" t="s">
        <v>13</v>
      </c>
    </row>
    <row r="31" spans="1:5">
      <c r="A31" s="3" t="s">
        <v>6</v>
      </c>
      <c r="B31" s="3" t="s">
        <v>5</v>
      </c>
      <c r="C31" s="3" t="s">
        <v>4</v>
      </c>
      <c r="D31" s="3" t="s">
        <v>3</v>
      </c>
      <c r="E31" s="3" t="s">
        <v>2</v>
      </c>
    </row>
    <row r="32" spans="1:5">
      <c r="A32" s="1">
        <v>0.32</v>
      </c>
      <c r="B32" s="1">
        <v>1.7</v>
      </c>
      <c r="C32" s="1">
        <v>0.85</v>
      </c>
      <c r="D32" s="1">
        <v>0.91</v>
      </c>
      <c r="E32" s="1">
        <v>0.68</v>
      </c>
    </row>
    <row r="33" spans="1:5">
      <c r="A33" s="1">
        <v>0.28999999999999998</v>
      </c>
      <c r="B33" s="1">
        <v>1.18</v>
      </c>
      <c r="C33" s="1">
        <v>0.65</v>
      </c>
      <c r="D33" s="1">
        <v>0.86</v>
      </c>
      <c r="E33" s="1">
        <v>0.92</v>
      </c>
    </row>
    <row r="34" spans="1:5">
      <c r="A34" s="1">
        <v>0.17</v>
      </c>
      <c r="B34" s="1">
        <v>1.1399999999999999</v>
      </c>
      <c r="C34" s="1">
        <v>1.02</v>
      </c>
      <c r="D34" s="1">
        <v>0.93</v>
      </c>
      <c r="E34" s="1">
        <v>0.4</v>
      </c>
    </row>
    <row r="35" spans="1:5">
      <c r="A35" s="1">
        <v>0.23</v>
      </c>
      <c r="B35" s="1">
        <v>1.07</v>
      </c>
      <c r="C35" s="1">
        <v>1.49</v>
      </c>
      <c r="D35" s="1">
        <v>0.69</v>
      </c>
      <c r="E35" s="1">
        <v>0.31</v>
      </c>
    </row>
    <row r="36" spans="1:5">
      <c r="A36" s="1">
        <v>0.21</v>
      </c>
      <c r="B36" s="1">
        <v>1.38</v>
      </c>
      <c r="C36" s="1">
        <v>0.96</v>
      </c>
      <c r="D36" s="1">
        <v>0.54</v>
      </c>
      <c r="E36" s="1">
        <v>0.66</v>
      </c>
    </row>
    <row r="37" spans="1:5">
      <c r="A37" s="1">
        <v>0.19</v>
      </c>
      <c r="B37" s="1">
        <v>1.63</v>
      </c>
      <c r="C37" s="1">
        <v>0.84</v>
      </c>
      <c r="D37" s="1">
        <v>0.74</v>
      </c>
      <c r="E37" s="1">
        <v>0.49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03954-B9C9-7344-A759-F999F847736C}">
  <dimension ref="A1:E7"/>
  <sheetViews>
    <sheetView workbookViewId="0">
      <selection activeCell="F16" sqref="F16"/>
    </sheetView>
  </sheetViews>
  <sheetFormatPr baseColWidth="10" defaultRowHeight="16"/>
  <sheetData>
    <row r="1" spans="1:5">
      <c r="A1" s="3" t="s">
        <v>6</v>
      </c>
      <c r="B1" s="3" t="s">
        <v>5</v>
      </c>
      <c r="C1" s="3" t="s">
        <v>4</v>
      </c>
      <c r="D1" s="3" t="s">
        <v>3</v>
      </c>
      <c r="E1" s="3" t="s">
        <v>2</v>
      </c>
    </row>
    <row r="2" spans="1:5">
      <c r="A2" s="13">
        <v>1.04266667</v>
      </c>
      <c r="B2" s="13">
        <v>2.4318792299999998</v>
      </c>
      <c r="C2" s="13">
        <v>1.8586626500000001</v>
      </c>
      <c r="D2" s="13">
        <v>1.61927157</v>
      </c>
      <c r="E2" s="13">
        <v>1.59424491</v>
      </c>
    </row>
    <row r="3" spans="1:5">
      <c r="A3" s="13">
        <v>0.80319167000000002</v>
      </c>
      <c r="B3" s="13">
        <v>1.9540023099999999</v>
      </c>
      <c r="C3" s="13">
        <v>1.6988694099999999</v>
      </c>
      <c r="D3" s="13">
        <v>1.2093593899999999</v>
      </c>
      <c r="E3" s="13">
        <v>1.95077152</v>
      </c>
    </row>
    <row r="4" spans="1:5">
      <c r="A4" s="13">
        <v>0.85439215000000002</v>
      </c>
      <c r="B4" s="13">
        <v>2.38688755</v>
      </c>
      <c r="C4" s="13">
        <v>1.6000249799999999</v>
      </c>
      <c r="D4" s="13">
        <v>1.36143635</v>
      </c>
      <c r="E4" s="13">
        <v>1.7704953800000001</v>
      </c>
    </row>
    <row r="5" spans="1:5">
      <c r="A5" s="13">
        <v>0.97993344999999998</v>
      </c>
      <c r="B5" s="13">
        <v>2.2395836299999998</v>
      </c>
      <c r="C5" s="13">
        <v>1.50914923</v>
      </c>
      <c r="D5" s="13">
        <v>1.6765077900000001</v>
      </c>
      <c r="E5" s="13">
        <v>1.1659836100000001</v>
      </c>
    </row>
    <row r="6" spans="1:5">
      <c r="A6" s="13">
        <v>0.94197417000000006</v>
      </c>
      <c r="B6" s="13">
        <v>1.83527763</v>
      </c>
      <c r="C6" s="13">
        <v>1.6296893100000001</v>
      </c>
      <c r="D6" s="13">
        <v>1.93170515</v>
      </c>
      <c r="E6" s="13">
        <v>1.4946030699999999</v>
      </c>
    </row>
    <row r="7" spans="1:5">
      <c r="A7" s="13">
        <v>1.3778418800000001</v>
      </c>
      <c r="B7" s="13">
        <v>1.79541046</v>
      </c>
      <c r="C7" s="13">
        <v>1.58515279</v>
      </c>
      <c r="D7" s="13">
        <v>1.50589057</v>
      </c>
      <c r="E7" s="13">
        <v>1.6997917899999999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90EC-D87D-2046-A25B-DA2D9AA923BD}">
  <dimension ref="A1:F27"/>
  <sheetViews>
    <sheetView workbookViewId="0">
      <selection activeCell="G41" sqref="G41"/>
    </sheetView>
  </sheetViews>
  <sheetFormatPr baseColWidth="10" defaultRowHeight="16"/>
  <sheetData>
    <row r="1" spans="1:6">
      <c r="B1" s="3" t="s">
        <v>6</v>
      </c>
      <c r="C1" s="3" t="s">
        <v>5</v>
      </c>
      <c r="D1" s="3" t="s">
        <v>4</v>
      </c>
      <c r="E1" s="3" t="s">
        <v>3</v>
      </c>
      <c r="F1" s="3" t="s">
        <v>2</v>
      </c>
    </row>
    <row r="2" spans="1:6">
      <c r="B2">
        <v>1.0005543763142069</v>
      </c>
      <c r="C2">
        <v>0.43035167017736975</v>
      </c>
      <c r="D2">
        <v>0.61727370041971552</v>
      </c>
      <c r="E2">
        <v>0.60612758735857453</v>
      </c>
      <c r="F2">
        <v>0.50648129891709459</v>
      </c>
    </row>
    <row r="3" spans="1:6">
      <c r="B3">
        <v>1.1021861308984013</v>
      </c>
      <c r="C3">
        <v>0.2893581435010556</v>
      </c>
      <c r="D3">
        <v>0.59639334040176428</v>
      </c>
      <c r="E3">
        <v>0.78640094326438192</v>
      </c>
      <c r="F3">
        <v>0.54831171747982865</v>
      </c>
    </row>
    <row r="4" spans="1:6">
      <c r="B4">
        <v>1.0585576787178106</v>
      </c>
      <c r="C4">
        <v>0.32449750348796186</v>
      </c>
      <c r="D4">
        <v>0.47749518860303225</v>
      </c>
      <c r="E4">
        <v>0.69315090746767216</v>
      </c>
      <c r="F4">
        <v>0.59639334040176428</v>
      </c>
    </row>
    <row r="5" spans="1:6">
      <c r="B5">
        <v>0.87955396624671822</v>
      </c>
      <c r="C5">
        <v>0.47744432751588489</v>
      </c>
      <c r="D5">
        <v>0.4638983246389769</v>
      </c>
      <c r="E5">
        <v>0.76408705408646327</v>
      </c>
      <c r="F5">
        <v>0.64837808082626625</v>
      </c>
    </row>
    <row r="6" spans="1:6">
      <c r="B6">
        <v>0.85558426612055827</v>
      </c>
      <c r="C6">
        <v>0.51833664158234571</v>
      </c>
      <c r="D6">
        <v>0.59802748829436869</v>
      </c>
      <c r="E6">
        <v>0.66288479312706838</v>
      </c>
      <c r="F6">
        <v>0.70159761542206733</v>
      </c>
    </row>
    <row r="7" spans="1:6">
      <c r="B7">
        <v>0.75479548696223164</v>
      </c>
      <c r="C7">
        <v>0.46840612395540587</v>
      </c>
      <c r="D7">
        <v>0.60451698626557548</v>
      </c>
      <c r="E7">
        <v>0.83655939391150069</v>
      </c>
      <c r="F7">
        <v>0.57123311408756294</v>
      </c>
    </row>
    <row r="9" spans="1:6">
      <c r="A9">
        <f>AVERAGE(B2:B7)</f>
        <v>0.94187198420998797</v>
      </c>
    </row>
    <row r="11" spans="1:6">
      <c r="B11" s="11" cm="1">
        <f t="array" ref="B11:F16">B2:F7/A9</f>
        <v>1.0623039999999997</v>
      </c>
      <c r="C11" s="11">
        <v>0.45691099999999996</v>
      </c>
      <c r="D11" s="11">
        <v>0.65536899999999987</v>
      </c>
      <c r="E11" s="11">
        <v>0.64353499999999997</v>
      </c>
      <c r="F11" s="11">
        <v>0.53773899999999986</v>
      </c>
    </row>
    <row r="12" spans="1:6">
      <c r="B12" s="11">
        <v>1.1702079999999997</v>
      </c>
      <c r="C12" s="11">
        <v>0.30721599999999993</v>
      </c>
      <c r="D12" s="11">
        <v>0.63319999999999987</v>
      </c>
      <c r="E12" s="11">
        <v>0.83493399999999984</v>
      </c>
      <c r="F12" s="11">
        <v>0.58215099999999997</v>
      </c>
    </row>
    <row r="13" spans="1:6">
      <c r="B13" s="11">
        <v>1.1238869999999999</v>
      </c>
      <c r="C13" s="11">
        <v>0.34452399999999994</v>
      </c>
      <c r="D13" s="11">
        <v>0.50696399999999986</v>
      </c>
      <c r="E13" s="11">
        <v>0.73592899999999994</v>
      </c>
      <c r="F13" s="11">
        <v>0.63319999999999987</v>
      </c>
    </row>
    <row r="14" spans="1:6">
      <c r="B14" s="11">
        <v>0.93383599999999989</v>
      </c>
      <c r="C14" s="11">
        <v>0.50690999999999986</v>
      </c>
      <c r="D14" s="11">
        <v>0.49252799999999997</v>
      </c>
      <c r="E14" s="11">
        <v>0.81124300000000005</v>
      </c>
      <c r="F14" s="11">
        <v>0.68839300000000003</v>
      </c>
    </row>
    <row r="15" spans="1:6">
      <c r="B15" s="11">
        <v>0.90838699999999994</v>
      </c>
      <c r="C15" s="11">
        <v>0.55032599999999987</v>
      </c>
      <c r="D15" s="11">
        <v>0.63493500000000003</v>
      </c>
      <c r="E15" s="11">
        <v>0.70379499999999995</v>
      </c>
      <c r="F15" s="11">
        <v>0.74489699999999992</v>
      </c>
    </row>
    <row r="16" spans="1:6">
      <c r="B16" s="11">
        <v>0.80137799999999992</v>
      </c>
      <c r="C16" s="11">
        <v>0.49731399999999992</v>
      </c>
      <c r="D16" s="11">
        <v>0.64182499999999998</v>
      </c>
      <c r="E16" s="11">
        <v>0.88818799999999987</v>
      </c>
      <c r="F16" s="11">
        <v>0.606487</v>
      </c>
    </row>
    <row r="21" spans="2:6">
      <c r="B21" s="3"/>
      <c r="C21" s="3"/>
      <c r="D21" s="3"/>
      <c r="E21" s="3"/>
      <c r="F21" s="3"/>
    </row>
    <row r="22" spans="2:6">
      <c r="B22" s="1"/>
      <c r="C22" s="1"/>
      <c r="D22" s="1"/>
      <c r="E22" s="1"/>
      <c r="F22" s="1"/>
    </row>
    <row r="23" spans="2:6">
      <c r="B23" s="1"/>
      <c r="C23" s="1"/>
      <c r="D23" s="1"/>
      <c r="E23" s="1"/>
      <c r="F23" s="1"/>
    </row>
    <row r="24" spans="2:6">
      <c r="B24" s="1"/>
      <c r="C24" s="1"/>
      <c r="D24" s="1"/>
      <c r="E24" s="1"/>
      <c r="F24" s="1"/>
    </row>
    <row r="25" spans="2:6">
      <c r="B25" s="1"/>
      <c r="C25" s="1"/>
      <c r="D25" s="1"/>
      <c r="E25" s="1"/>
      <c r="F25" s="1"/>
    </row>
    <row r="26" spans="2:6">
      <c r="B26" s="1"/>
      <c r="C26" s="1"/>
      <c r="D26" s="1"/>
      <c r="E26" s="1"/>
      <c r="F26" s="1"/>
    </row>
    <row r="27" spans="2:6">
      <c r="B27" s="1"/>
      <c r="C27" s="1"/>
      <c r="D27" s="1"/>
      <c r="E27" s="1"/>
      <c r="F27" s="1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CC20-1F79-0D4C-8088-A6AE5CAF78ED}">
  <dimension ref="A1:F28"/>
  <sheetViews>
    <sheetView zoomScaleNormal="150" workbookViewId="0">
      <selection activeCell="M13" sqref="M13"/>
    </sheetView>
  </sheetViews>
  <sheetFormatPr baseColWidth="10" defaultRowHeight="16"/>
  <cols>
    <col min="1" max="1" width="15.5" style="12" customWidth="1"/>
    <col min="15" max="15" width="22.5" customWidth="1"/>
    <col min="16" max="16" width="14.6640625" customWidth="1"/>
  </cols>
  <sheetData>
    <row r="1" spans="1:6">
      <c r="A1" s="12" t="s">
        <v>18</v>
      </c>
      <c r="B1" s="14" t="s">
        <v>6</v>
      </c>
      <c r="C1" s="14" t="s">
        <v>5</v>
      </c>
      <c r="D1" s="14" t="s">
        <v>4</v>
      </c>
      <c r="E1" s="14" t="s">
        <v>3</v>
      </c>
      <c r="F1" s="14" t="s">
        <v>2</v>
      </c>
    </row>
    <row r="2" spans="1:6">
      <c r="B2" s="13">
        <v>0.86665884999999998</v>
      </c>
      <c r="C2" s="13">
        <v>3.9001675499999999</v>
      </c>
      <c r="D2" s="13">
        <v>2.5377256400000001</v>
      </c>
      <c r="E2" s="13">
        <v>2.27132807</v>
      </c>
      <c r="F2" s="13">
        <v>3.0388724100000002</v>
      </c>
    </row>
    <row r="3" spans="1:6">
      <c r="B3" s="13">
        <v>0.98182384</v>
      </c>
      <c r="C3" s="13">
        <v>4.4801160500000003</v>
      </c>
      <c r="D3" s="13">
        <v>3.0178813899999999</v>
      </c>
      <c r="E3" s="13">
        <v>2.0612737299999999</v>
      </c>
      <c r="F3" s="13">
        <v>2.4512813900000001</v>
      </c>
    </row>
    <row r="4" spans="1:6">
      <c r="B4" s="13">
        <v>1.15151731</v>
      </c>
      <c r="C4" s="13">
        <v>3.6138486900000002</v>
      </c>
      <c r="D4" s="13">
        <v>2.95577428</v>
      </c>
      <c r="E4" s="13">
        <v>2.6638929400000002</v>
      </c>
      <c r="F4" s="13">
        <v>3.1243067400000002</v>
      </c>
    </row>
    <row r="7" spans="1:6">
      <c r="A7" s="12" t="s">
        <v>17</v>
      </c>
      <c r="B7" s="14" t="s">
        <v>6</v>
      </c>
      <c r="C7" s="14" t="s">
        <v>5</v>
      </c>
      <c r="D7" s="14" t="s">
        <v>4</v>
      </c>
      <c r="E7" s="14" t="s">
        <v>3</v>
      </c>
      <c r="F7" s="14" t="s">
        <v>2</v>
      </c>
    </row>
    <row r="8" spans="1:6">
      <c r="B8" s="13">
        <v>1</v>
      </c>
      <c r="C8" s="13">
        <v>0.71213099999999996</v>
      </c>
      <c r="D8" s="13">
        <v>0.86217600000000005</v>
      </c>
      <c r="E8" s="13">
        <v>0.89331199999999999</v>
      </c>
      <c r="F8" s="13">
        <v>0.88946179599999997</v>
      </c>
    </row>
    <row r="9" spans="1:6">
      <c r="B9" s="13">
        <v>0.92</v>
      </c>
      <c r="C9" s="13">
        <v>0.66435</v>
      </c>
      <c r="D9" s="13">
        <v>0.84964499999999998</v>
      </c>
      <c r="E9" s="13">
        <v>1.0465530000000001</v>
      </c>
      <c r="F9" s="13">
        <v>1.0184672770000001</v>
      </c>
    </row>
    <row r="10" spans="1:6">
      <c r="B10" s="13">
        <v>0.95</v>
      </c>
      <c r="C10" s="13">
        <v>0.61752700000000005</v>
      </c>
      <c r="D10" s="13">
        <v>0.771818</v>
      </c>
      <c r="E10" s="13">
        <v>1.041453</v>
      </c>
      <c r="F10" s="13">
        <v>0.84235304099999997</v>
      </c>
    </row>
    <row r="13" spans="1:6">
      <c r="A13" s="12" t="s">
        <v>16</v>
      </c>
      <c r="B13" s="14" t="s">
        <v>6</v>
      </c>
      <c r="C13" s="14" t="s">
        <v>5</v>
      </c>
      <c r="D13" s="14" t="s">
        <v>4</v>
      </c>
      <c r="E13" s="14" t="s">
        <v>3</v>
      </c>
      <c r="F13" s="14" t="s">
        <v>2</v>
      </c>
    </row>
    <row r="14" spans="1:6">
      <c r="B14" s="13">
        <v>0.8</v>
      </c>
      <c r="C14" s="13">
        <v>1.496542</v>
      </c>
      <c r="D14" s="13">
        <v>0.98712900000000003</v>
      </c>
      <c r="E14" s="13">
        <v>0.95737528500000002</v>
      </c>
      <c r="F14" s="13">
        <v>1.1972929999999999</v>
      </c>
    </row>
    <row r="15" spans="1:6">
      <c r="B15" s="13">
        <v>1.1000000000000001</v>
      </c>
      <c r="C15" s="13">
        <v>1.413362</v>
      </c>
      <c r="D15" s="13">
        <v>1.193416</v>
      </c>
      <c r="E15" s="13">
        <v>0.97949917099999995</v>
      </c>
      <c r="F15" s="13">
        <v>0.98968500000000004</v>
      </c>
    </row>
    <row r="16" spans="1:6">
      <c r="B16" s="13">
        <v>1</v>
      </c>
      <c r="C16" s="13">
        <v>1.5530729999999999</v>
      </c>
      <c r="D16" s="13">
        <v>1.1922159999999999</v>
      </c>
      <c r="E16" s="13">
        <v>1.104614384</v>
      </c>
      <c r="F16" s="13">
        <v>1.1733100000000001</v>
      </c>
    </row>
    <row r="19" spans="1:5">
      <c r="A19" s="12" t="s">
        <v>15</v>
      </c>
      <c r="B19" s="14" t="s">
        <v>6</v>
      </c>
      <c r="C19" s="14" t="s">
        <v>5</v>
      </c>
      <c r="D19" s="14" t="s">
        <v>4</v>
      </c>
      <c r="E19" s="14" t="s">
        <v>3</v>
      </c>
    </row>
    <row r="20" spans="1:5">
      <c r="B20" s="13">
        <v>0.9623657562099277</v>
      </c>
      <c r="C20" s="13">
        <v>0.28441209692515212</v>
      </c>
      <c r="D20" s="13">
        <v>0.68436492007594507</v>
      </c>
      <c r="E20" s="13">
        <v>0.73388093841873747</v>
      </c>
    </row>
    <row r="21" spans="1:5">
      <c r="B21" s="13">
        <v>1.2167201668807752</v>
      </c>
      <c r="C21" s="13">
        <v>0.50424581172351357</v>
      </c>
      <c r="D21" s="13">
        <v>0.80638091115102617</v>
      </c>
      <c r="E21" s="13">
        <v>0.82748038000086999</v>
      </c>
    </row>
    <row r="22" spans="1:5">
      <c r="B22" s="13">
        <v>0.82091407690929707</v>
      </c>
      <c r="C22" s="13">
        <v>0.46798437149346322</v>
      </c>
      <c r="D22" s="13">
        <v>0.622995715721127</v>
      </c>
      <c r="E22" s="13">
        <v>0.81927085124667542</v>
      </c>
    </row>
    <row r="23" spans="1:5">
      <c r="B23" s="14"/>
      <c r="C23" s="14"/>
      <c r="D23" s="14"/>
      <c r="E23" s="14"/>
    </row>
    <row r="24" spans="1:5">
      <c r="B24" s="13"/>
      <c r="C24" s="13"/>
      <c r="D24" s="13"/>
      <c r="E24" s="13"/>
    </row>
    <row r="25" spans="1:5">
      <c r="A25" s="12" t="s">
        <v>14</v>
      </c>
      <c r="B25" s="13" t="s">
        <v>6</v>
      </c>
      <c r="C25" s="13" t="s">
        <v>5</v>
      </c>
      <c r="D25" s="13" t="s">
        <v>4</v>
      </c>
      <c r="E25" s="13" t="s">
        <v>3</v>
      </c>
    </row>
    <row r="26" spans="1:5">
      <c r="B26" s="13">
        <v>1.0260220226329213</v>
      </c>
      <c r="C26" s="13">
        <v>2.0014219847122989</v>
      </c>
      <c r="D26" s="13">
        <v>1.9548737634195985</v>
      </c>
      <c r="E26" s="13">
        <v>1.47672903169598</v>
      </c>
    </row>
    <row r="27" spans="1:5">
      <c r="B27" s="14">
        <v>0.80362137974449954</v>
      </c>
      <c r="C27" s="14">
        <v>1.753504024539946</v>
      </c>
      <c r="D27" s="14">
        <v>1.5468773640802691</v>
      </c>
      <c r="E27" s="14">
        <v>1.3767253876454679</v>
      </c>
    </row>
    <row r="28" spans="1:5">
      <c r="B28" s="13">
        <v>1.1703565976225796</v>
      </c>
      <c r="C28" s="13">
        <v>2.1624772996701069</v>
      </c>
      <c r="D28" s="13">
        <v>1.8753111821122985</v>
      </c>
      <c r="E28" s="13">
        <v>1.4983344709796835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E861-4EAA-A846-B639-79B97272B2E2}">
  <dimension ref="A1:E18"/>
  <sheetViews>
    <sheetView workbookViewId="0">
      <selection activeCell="G13" sqref="G13"/>
    </sheetView>
  </sheetViews>
  <sheetFormatPr baseColWidth="10" defaultRowHeight="16"/>
  <sheetData>
    <row r="1" spans="1:5">
      <c r="A1" s="10" t="s">
        <v>18</v>
      </c>
    </row>
    <row r="2" spans="1:5">
      <c r="A2" s="3" t="s">
        <v>6</v>
      </c>
      <c r="B2" s="3" t="s">
        <v>5</v>
      </c>
      <c r="C2" s="3" t="s">
        <v>1</v>
      </c>
      <c r="D2" s="3" t="s">
        <v>19</v>
      </c>
      <c r="E2" s="3" t="s">
        <v>0</v>
      </c>
    </row>
    <row r="3" spans="1:5">
      <c r="A3" s="1">
        <v>0.86665884999999998</v>
      </c>
      <c r="B3" s="1">
        <v>3.9001675499999999</v>
      </c>
      <c r="C3" s="1">
        <v>2.5377256400000001</v>
      </c>
      <c r="D3" s="1">
        <v>2.27132807</v>
      </c>
      <c r="E3" s="1">
        <v>3.0388724100000002</v>
      </c>
    </row>
    <row r="4" spans="1:5">
      <c r="A4" s="1">
        <v>0.98182384</v>
      </c>
      <c r="B4" s="1">
        <v>4.4801160500000003</v>
      </c>
      <c r="C4" s="1">
        <v>3.0178813899999999</v>
      </c>
      <c r="D4" s="1">
        <v>2.0612737299999999</v>
      </c>
      <c r="E4" s="1">
        <v>2.4512813900000001</v>
      </c>
    </row>
    <row r="5" spans="1:5">
      <c r="A5" s="1">
        <v>1.15151731</v>
      </c>
      <c r="B5" s="1">
        <v>3.6138486900000002</v>
      </c>
      <c r="C5" s="1">
        <v>2.95577428</v>
      </c>
      <c r="D5" s="1">
        <v>2.6638929400000002</v>
      </c>
      <c r="E5" s="1">
        <v>3.1243067400000002</v>
      </c>
    </row>
    <row r="7" spans="1:5">
      <c r="A7" s="10" t="s">
        <v>20</v>
      </c>
    </row>
    <row r="8" spans="1:5">
      <c r="A8" s="3" t="s">
        <v>6</v>
      </c>
      <c r="B8" s="3" t="s">
        <v>5</v>
      </c>
      <c r="C8" s="3" t="s">
        <v>1</v>
      </c>
      <c r="D8" s="3" t="s">
        <v>19</v>
      </c>
      <c r="E8" s="3" t="s">
        <v>0</v>
      </c>
    </row>
    <row r="9" spans="1:5">
      <c r="A9" s="1">
        <v>0.80842358999999997</v>
      </c>
      <c r="B9" s="1">
        <v>4.3868437499999997</v>
      </c>
      <c r="C9" s="1">
        <v>2.5547521299999998</v>
      </c>
      <c r="D9" s="1">
        <v>0.93509401000000003</v>
      </c>
      <c r="E9" s="1">
        <v>1.4271958499999999</v>
      </c>
    </row>
    <row r="10" spans="1:5">
      <c r="A10" s="1">
        <v>1.4878028000000001</v>
      </c>
      <c r="B10" s="1">
        <v>3.9263351399999999</v>
      </c>
      <c r="C10" s="1">
        <v>2.66324162</v>
      </c>
      <c r="D10" s="1">
        <v>0.72859213</v>
      </c>
      <c r="E10" s="1">
        <v>1.1592432500000001</v>
      </c>
    </row>
    <row r="11" spans="1:5">
      <c r="A11" s="1">
        <v>0.70377361000000005</v>
      </c>
      <c r="B11" s="1">
        <v>2.8742455599999999</v>
      </c>
      <c r="C11" s="1">
        <v>2.1482819000000002</v>
      </c>
      <c r="D11" s="1">
        <v>0.97480348999999999</v>
      </c>
      <c r="E11" s="1">
        <v>1.5085717599999999</v>
      </c>
    </row>
    <row r="14" spans="1:5">
      <c r="A14" s="10" t="s">
        <v>21</v>
      </c>
    </row>
    <row r="15" spans="1:5">
      <c r="A15" s="3" t="s">
        <v>6</v>
      </c>
      <c r="B15" s="3" t="s">
        <v>5</v>
      </c>
      <c r="C15" s="3" t="s">
        <v>1</v>
      </c>
      <c r="D15" s="3" t="s">
        <v>19</v>
      </c>
      <c r="E15" s="3" t="s">
        <v>0</v>
      </c>
    </row>
    <row r="16" spans="1:5">
      <c r="A16" s="1">
        <v>1.18493336</v>
      </c>
      <c r="B16" s="1">
        <v>0.54897255</v>
      </c>
      <c r="C16" s="1">
        <v>0.92967986999999996</v>
      </c>
      <c r="D16" s="1">
        <v>1.46897101</v>
      </c>
      <c r="E16" s="1">
        <v>1.26120773</v>
      </c>
    </row>
    <row r="17" spans="1:5">
      <c r="A17" s="1">
        <v>0.92325809999999997</v>
      </c>
      <c r="B17" s="1">
        <v>0.68056550000000005</v>
      </c>
      <c r="C17" s="1">
        <v>0.71937001</v>
      </c>
      <c r="D17" s="1">
        <v>1.15253129</v>
      </c>
      <c r="E17" s="1">
        <v>1.2098313300000001</v>
      </c>
    </row>
    <row r="18" spans="1:5">
      <c r="A18" s="1">
        <v>0.89180853999999998</v>
      </c>
      <c r="B18" s="1">
        <v>0.50867141000000005</v>
      </c>
      <c r="C18" s="1">
        <v>0.79819099999999998</v>
      </c>
      <c r="D18" s="1">
        <v>1.43874002</v>
      </c>
      <c r="E18" s="1">
        <v>0.84370228999999997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sperm</vt:lpstr>
      <vt:lpstr>lipid</vt:lpstr>
      <vt:lpstr>MDA</vt:lpstr>
      <vt:lpstr>GSH</vt:lpstr>
      <vt:lpstr>wb</vt:lpstr>
      <vt:lpstr>pcr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孙</dc:creator>
  <cp:lastModifiedBy>阳 孙</cp:lastModifiedBy>
  <dcterms:created xsi:type="dcterms:W3CDTF">2026-02-13T11:02:39Z</dcterms:created>
  <dcterms:modified xsi:type="dcterms:W3CDTF">2026-02-13T12:23:25Z</dcterms:modified>
</cp:coreProperties>
</file>